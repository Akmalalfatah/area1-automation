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5624CEF-4529-4445-968D-AC26EACF8E53}" xr6:coauthVersionLast="47" xr6:coauthVersionMax="47" xr10:uidLastSave="{00000000-0000-0000-0000-000000000000}"/>
  <bookViews>
    <workbookView xWindow="-98" yWindow="-98" windowWidth="21795" windowHeight="12975" xr2:uid="{689C28D0-C845-48F5-9668-DA4E6321F3EA}"/>
  </bookViews>
  <sheets>
    <sheet name="Sep 2-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4" i="1" l="1"/>
  <c r="AX5" i="1" s="1"/>
  <c r="AW4" i="1"/>
  <c r="AW5" i="1" s="1"/>
  <c r="AV4" i="1"/>
  <c r="AV5" i="1" s="1"/>
  <c r="AU4" i="1"/>
  <c r="AU5" i="1" s="1"/>
  <c r="AT4" i="1"/>
  <c r="AT5" i="1" s="1"/>
  <c r="AS4" i="1"/>
  <c r="AS5" i="1" s="1"/>
  <c r="AR4" i="1"/>
  <c r="AR5" i="1" s="1"/>
  <c r="AQ4" i="1"/>
  <c r="AQ5" i="1" s="1"/>
  <c r="AP4" i="1"/>
  <c r="AP5" i="1" s="1"/>
  <c r="AO4" i="1"/>
  <c r="AO5" i="1" s="1"/>
  <c r="AN4" i="1"/>
  <c r="AN5" i="1" s="1"/>
  <c r="AM4" i="1"/>
  <c r="AM5" i="1" s="1"/>
  <c r="AL4" i="1"/>
  <c r="AL5" i="1" s="1"/>
  <c r="AK4" i="1"/>
  <c r="AK5" i="1" s="1"/>
  <c r="AJ4" i="1"/>
  <c r="AJ5" i="1" s="1"/>
  <c r="AI4" i="1"/>
  <c r="AI5" i="1" s="1"/>
  <c r="AH4" i="1"/>
  <c r="AH5" i="1" s="1"/>
  <c r="AG4" i="1"/>
  <c r="AG5" i="1" s="1"/>
  <c r="AF4" i="1"/>
  <c r="AF5" i="1" s="1"/>
  <c r="AE4" i="1"/>
  <c r="AE5" i="1" s="1"/>
  <c r="AD4" i="1"/>
  <c r="AD5" i="1" s="1"/>
  <c r="AC4" i="1"/>
  <c r="AC5" i="1" s="1"/>
  <c r="AB4" i="1"/>
  <c r="AB5" i="1" s="1"/>
  <c r="AA4" i="1"/>
  <c r="AA5" i="1" s="1"/>
  <c r="Z4" i="1"/>
  <c r="Z5" i="1" s="1"/>
  <c r="Y4" i="1"/>
  <c r="Y5" i="1" s="1"/>
  <c r="X4" i="1"/>
  <c r="X5" i="1" s="1"/>
  <c r="W4" i="1"/>
  <c r="W5" i="1" s="1"/>
  <c r="V4" i="1"/>
  <c r="V5" i="1" s="1"/>
  <c r="U4" i="1"/>
  <c r="U5" i="1" s="1"/>
  <c r="T4" i="1"/>
  <c r="T5" i="1" s="1"/>
  <c r="S4" i="1"/>
  <c r="S5" i="1" s="1"/>
  <c r="R4" i="1"/>
  <c r="R5" i="1" s="1"/>
  <c r="Q4" i="1"/>
  <c r="Q5" i="1" s="1"/>
  <c r="P4" i="1"/>
  <c r="P5" i="1" s="1"/>
  <c r="O4" i="1"/>
  <c r="O5" i="1" s="1"/>
  <c r="N4" i="1"/>
  <c r="N5" i="1" s="1"/>
  <c r="M4" i="1"/>
  <c r="M5" i="1" s="1"/>
  <c r="L4" i="1"/>
  <c r="L5" i="1" s="1"/>
  <c r="K4" i="1"/>
  <c r="K5" i="1" s="1"/>
  <c r="J4" i="1"/>
  <c r="J5" i="1" s="1"/>
  <c r="I4" i="1"/>
  <c r="I5" i="1" s="1"/>
  <c r="H4" i="1"/>
  <c r="H5" i="1" s="1"/>
  <c r="G4" i="1"/>
  <c r="G5" i="1" s="1"/>
  <c r="F4" i="1"/>
  <c r="F5" i="1" s="1"/>
  <c r="E4" i="1"/>
  <c r="E5" i="1" s="1"/>
  <c r="D4" i="1"/>
  <c r="D5" i="1" s="1"/>
  <c r="C4" i="1"/>
  <c r="C5" i="1" s="1"/>
</calcChain>
</file>

<file path=xl/sharedStrings.xml><?xml version="1.0" encoding="utf-8"?>
<sst xmlns="http://schemas.openxmlformats.org/spreadsheetml/2006/main" count="41" uniqueCount="41">
  <si>
    <t>Skor KPI</t>
  </si>
  <si>
    <t>Bobot</t>
  </si>
  <si>
    <t>R01_Sumbagut</t>
  </si>
  <si>
    <t>R02_Sumbagsel</t>
  </si>
  <si>
    <t>R10_Sumbagteng</t>
  </si>
  <si>
    <t>NOP BANDA ACEH</t>
  </si>
  <si>
    <t>NOP BINJAI</t>
  </si>
  <si>
    <t>NOP MEDAN</t>
  </si>
  <si>
    <t>NOP PADANG SIDEMPUAN</t>
  </si>
  <si>
    <t>NOP PEMATANG SIANTAR</t>
  </si>
  <si>
    <t>NOP RANTAU PRAPAT</t>
  </si>
  <si>
    <t>NOP BENGKULU</t>
  </si>
  <si>
    <t>NOP JAMBI</t>
  </si>
  <si>
    <t>NOP LAMPUNG</t>
  </si>
  <si>
    <t>NOP PALEMBANG</t>
  </si>
  <si>
    <t>NOP PANGKAL PINANG</t>
  </si>
  <si>
    <t>NOP BATAM</t>
  </si>
  <si>
    <t>NOP BUKITTINGGI</t>
  </si>
  <si>
    <t>NOP DUMAI</t>
  </si>
  <si>
    <t>NOP PADANG</t>
  </si>
  <si>
    <t>NOP PEKANBARU</t>
  </si>
  <si>
    <t>Hari</t>
  </si>
  <si>
    <t>KPI Score</t>
  </si>
  <si>
    <t>Kategori KPI</t>
  </si>
  <si>
    <t>A. Availability Site NE Base Aggregate Cell</t>
  </si>
  <si>
    <t>Availability Site NE Base Aggregate Cell, Class Diamond per NOP</t>
  </si>
  <si>
    <t>Availability Site NE 98 Base Aggregate Cell, Class Platinum per NOP</t>
  </si>
  <si>
    <t>Availability Site NE 30 Base Aggregate Cell, Class Gold per NOP</t>
  </si>
  <si>
    <t>Availability Site NE Base Aggregate Cell, Class Silver per NOP</t>
  </si>
  <si>
    <t>Availability Site NE 95 Base Aggregate Cell, Class Bronze per NOP</t>
  </si>
  <si>
    <t>Percentage Site Achieved Target Availability per NOP</t>
  </si>
  <si>
    <t>B. Ticketing Activity &amp; Alarm Handling</t>
  </si>
  <si>
    <t>Restoration Impact Service Incident Alarm</t>
  </si>
  <si>
    <t>Restoration Potential Impact Service Non Incident Alarm Enva</t>
  </si>
  <si>
    <t>Restoration Impact Service Non Incident Alarm Controller</t>
  </si>
  <si>
    <t>Restoration Impact Service Non Incident Alarm Impact Service Alarm</t>
  </si>
  <si>
    <t>Restoration Impact Service Degraded Service (P2 &amp; P3) &amp; Others alarm</t>
  </si>
  <si>
    <t>Closing Ticket Supporting Pengembalian, Kehilangan dan Kerusakan Sparepart SPMS</t>
  </si>
  <si>
    <t>Closing Ticket Supporting Others Non Alarm</t>
  </si>
  <si>
    <t>WO Variable Activity Power &amp; Non Power High Impact L1</t>
  </si>
  <si>
    <t>WO Variable Activity Power &amp; Non Power Low Impact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</si>
</sst>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3864"/>
        <bgColor theme="4" tint="0.79998168889431442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17" fontId="1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3563-8950-4326-BFFB-372F1385EEFE}">
  <dimension ref="A1:AX22"/>
  <sheetViews>
    <sheetView tabSelected="1" zoomScale="96" zoomScaleNormal="100" workbookViewId="0">
      <pane xSplit="2" topLeftCell="C1" activePane="topRight" state="frozen"/>
      <selection pane="topRight" activeCell="C4" sqref="C4:AX4"/>
    </sheetView>
  </sheetViews>
  <sheetFormatPr defaultRowHeight="14.25" x14ac:dyDescent="0.45"/>
  <cols>
    <col min="1" max="1" width="48.796875" bestFit="1" customWidth="1"/>
    <col min="2" max="2" width="8.3984375" bestFit="1" customWidth="1"/>
    <col min="3" max="3" width="8.6640625" bestFit="1" customWidth="1"/>
    <col min="4" max="5" width="9.06640625" bestFit="1" customWidth="1"/>
    <col min="6" max="6" width="8.6640625" bestFit="1" customWidth="1"/>
    <col min="7" max="8" width="9.06640625" bestFit="1" customWidth="1"/>
    <col min="9" max="9" width="8.6640625" bestFit="1" customWidth="1"/>
    <col min="10" max="11" width="9.06640625" bestFit="1" customWidth="1"/>
    <col min="12" max="12" width="8.6640625" bestFit="1" customWidth="1"/>
    <col min="13" max="14" width="9.06640625" bestFit="1" customWidth="1"/>
    <col min="15" max="15" width="8.6640625" bestFit="1" customWidth="1"/>
    <col min="16" max="17" width="9.06640625" bestFit="1" customWidth="1"/>
    <col min="18" max="18" width="8.6640625" bestFit="1" customWidth="1"/>
    <col min="19" max="20" width="9.06640625" bestFit="1" customWidth="1"/>
    <col min="21" max="21" width="8.6640625" bestFit="1" customWidth="1"/>
    <col min="22" max="23" width="9.06640625" bestFit="1" customWidth="1"/>
    <col min="24" max="24" width="8.6640625" bestFit="1" customWidth="1"/>
    <col min="25" max="26" width="9.06640625" bestFit="1" customWidth="1"/>
    <col min="27" max="27" width="8.6640625" bestFit="1" customWidth="1"/>
    <col min="28" max="29" width="9.06640625" bestFit="1" customWidth="1"/>
    <col min="30" max="30" width="8.6640625" bestFit="1" customWidth="1"/>
    <col min="31" max="32" width="9.06640625" bestFit="1" customWidth="1"/>
    <col min="33" max="33" width="8.6640625" bestFit="1" customWidth="1"/>
    <col min="34" max="35" width="9.06640625" bestFit="1" customWidth="1"/>
    <col min="36" max="36" width="8.6640625" bestFit="1" customWidth="1"/>
    <col min="37" max="38" width="9.06640625" bestFit="1" customWidth="1"/>
    <col min="39" max="39" width="8.6640625" bestFit="1" customWidth="1"/>
    <col min="40" max="41" width="9.06640625" bestFit="1" customWidth="1"/>
    <col min="42" max="42" width="8.6640625" bestFit="1" customWidth="1"/>
    <col min="43" max="44" width="9.06640625" bestFit="1" customWidth="1"/>
    <col min="45" max="45" width="8.9296875" bestFit="1" customWidth="1"/>
    <col min="46" max="47" width="9.06640625" bestFit="1" customWidth="1"/>
    <col min="48" max="48" width="8.6640625" bestFit="1" customWidth="1"/>
    <col min="49" max="50" width="9.06640625" bestFit="1" customWidth="1"/>
  </cols>
  <sheetData>
    <row r="1" spans="1:50" ht="23" customHeight="1" x14ac:dyDescent="0.4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" t="s">
        <v>4</v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3" customHeight="1" x14ac:dyDescent="0.45">
      <c r="A2" s="1"/>
      <c r="B2" s="1"/>
      <c r="C2" s="1" t="s">
        <v>5</v>
      </c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 t="s">
        <v>8</v>
      </c>
      <c r="M2" s="1"/>
      <c r="N2" s="1"/>
      <c r="O2" s="1" t="s">
        <v>9</v>
      </c>
      <c r="P2" s="1"/>
      <c r="Q2" s="1"/>
      <c r="R2" s="1" t="s">
        <v>10</v>
      </c>
      <c r="S2" s="1"/>
      <c r="T2" s="1"/>
      <c r="U2" s="1" t="s">
        <v>11</v>
      </c>
      <c r="V2" s="1"/>
      <c r="W2" s="1"/>
      <c r="X2" s="1" t="s">
        <v>12</v>
      </c>
      <c r="Y2" s="1"/>
      <c r="Z2" s="1"/>
      <c r="AA2" s="1" t="s">
        <v>13</v>
      </c>
      <c r="AB2" s="1"/>
      <c r="AC2" s="1"/>
      <c r="AD2" s="1" t="s">
        <v>14</v>
      </c>
      <c r="AE2" s="1"/>
      <c r="AF2" s="1"/>
      <c r="AG2" s="1" t="s">
        <v>15</v>
      </c>
      <c r="AH2" s="1"/>
      <c r="AI2" s="1"/>
      <c r="AJ2" s="1" t="s">
        <v>16</v>
      </c>
      <c r="AK2" s="1"/>
      <c r="AL2" s="1"/>
      <c r="AM2" s="1" t="s">
        <v>17</v>
      </c>
      <c r="AN2" s="1"/>
      <c r="AO2" s="1"/>
      <c r="AP2" s="1" t="s">
        <v>18</v>
      </c>
      <c r="AQ2" s="1"/>
      <c r="AR2" s="1"/>
      <c r="AS2" s="1" t="s">
        <v>19</v>
      </c>
      <c r="AT2" s="1"/>
      <c r="AU2" s="1"/>
      <c r="AV2" s="1" t="s">
        <v>20</v>
      </c>
      <c r="AW2" s="1"/>
      <c r="AX2" s="1"/>
    </row>
    <row r="3" spans="1:50" ht="23" customHeight="1" x14ac:dyDescent="0.45">
      <c r="A3" s="3" t="s">
        <v>21</v>
      </c>
      <c r="B3" s="4"/>
      <c r="C3" s="5">
        <v>37500</v>
      </c>
      <c r="D3" s="5">
        <v>37865</v>
      </c>
      <c r="E3" s="5">
        <v>38231</v>
      </c>
      <c r="F3" s="5">
        <v>37500</v>
      </c>
      <c r="G3" s="5">
        <v>37865</v>
      </c>
      <c r="H3" s="5">
        <v>38231</v>
      </c>
      <c r="I3" s="5">
        <v>37500</v>
      </c>
      <c r="J3" s="5">
        <v>37865</v>
      </c>
      <c r="K3" s="5">
        <v>38231</v>
      </c>
      <c r="L3" s="5">
        <v>37500</v>
      </c>
      <c r="M3" s="5">
        <v>37865</v>
      </c>
      <c r="N3" s="5">
        <v>38231</v>
      </c>
      <c r="O3" s="5">
        <v>37500</v>
      </c>
      <c r="P3" s="5">
        <v>37865</v>
      </c>
      <c r="Q3" s="5">
        <v>38231</v>
      </c>
      <c r="R3" s="5">
        <v>37500</v>
      </c>
      <c r="S3" s="5">
        <v>37865</v>
      </c>
      <c r="T3" s="5">
        <v>38231</v>
      </c>
      <c r="U3" s="5">
        <v>37500</v>
      </c>
      <c r="V3" s="5">
        <v>37865</v>
      </c>
      <c r="W3" s="5">
        <v>38231</v>
      </c>
      <c r="X3" s="5">
        <v>37500</v>
      </c>
      <c r="Y3" s="5">
        <v>37865</v>
      </c>
      <c r="Z3" s="5">
        <v>38231</v>
      </c>
      <c r="AA3" s="5">
        <v>37500</v>
      </c>
      <c r="AB3" s="5">
        <v>37865</v>
      </c>
      <c r="AC3" s="5">
        <v>38231</v>
      </c>
      <c r="AD3" s="5">
        <v>37500</v>
      </c>
      <c r="AE3" s="5">
        <v>37865</v>
      </c>
      <c r="AF3" s="5">
        <v>38231</v>
      </c>
      <c r="AG3" s="5">
        <v>37500</v>
      </c>
      <c r="AH3" s="5">
        <v>37865</v>
      </c>
      <c r="AI3" s="5">
        <v>38231</v>
      </c>
      <c r="AJ3" s="5">
        <v>37500</v>
      </c>
      <c r="AK3" s="5">
        <v>37865</v>
      </c>
      <c r="AL3" s="5">
        <v>38231</v>
      </c>
      <c r="AM3" s="5">
        <v>37500</v>
      </c>
      <c r="AN3" s="5">
        <v>37865</v>
      </c>
      <c r="AO3" s="5">
        <v>38231</v>
      </c>
      <c r="AP3" s="5">
        <v>37500</v>
      </c>
      <c r="AQ3" s="5">
        <v>37865</v>
      </c>
      <c r="AR3" s="5">
        <v>38231</v>
      </c>
      <c r="AS3" s="5">
        <v>37500</v>
      </c>
      <c r="AT3" s="5">
        <v>37865</v>
      </c>
      <c r="AU3" s="5">
        <v>38231</v>
      </c>
      <c r="AV3" s="5">
        <v>37500</v>
      </c>
      <c r="AW3" s="5">
        <v>37865</v>
      </c>
      <c r="AX3" s="5">
        <v>38231</v>
      </c>
    </row>
    <row r="4" spans="1:50" ht="23" customHeight="1" x14ac:dyDescent="0.45">
      <c r="A4" s="3" t="s">
        <v>22</v>
      </c>
      <c r="B4" s="4">
        <v>1</v>
      </c>
      <c r="C4" s="6">
        <f t="shared" ref="C4:E4" si="0">(C6*35%)+(C13*65%)</f>
        <v>74.524815000000004</v>
      </c>
      <c r="D4" s="6">
        <f t="shared" si="0"/>
        <v>76.550545</v>
      </c>
      <c r="E4" s="6">
        <f t="shared" si="0"/>
        <v>74.777445</v>
      </c>
      <c r="F4" s="6">
        <f>(F6*35%)+(F13*65%)</f>
        <v>71.278459999999995</v>
      </c>
      <c r="G4" s="6">
        <f t="shared" ref="G4:AX4" si="1">(G6*35%)+(G13*65%)</f>
        <v>76.249234999999999</v>
      </c>
      <c r="H4" s="6">
        <f t="shared" si="1"/>
        <v>74.120530000000002</v>
      </c>
      <c r="I4" s="6">
        <f t="shared" si="1"/>
        <v>70.762910000000005</v>
      </c>
      <c r="J4" s="6">
        <f t="shared" si="1"/>
        <v>76.848230000000001</v>
      </c>
      <c r="K4" s="6">
        <f t="shared" si="1"/>
        <v>73.095109999999991</v>
      </c>
      <c r="L4" s="6">
        <f t="shared" si="1"/>
        <v>93.17743999999999</v>
      </c>
      <c r="M4" s="6">
        <f t="shared" si="1"/>
        <v>83.266854999999993</v>
      </c>
      <c r="N4" s="6">
        <f t="shared" si="1"/>
        <v>88.599699999999999</v>
      </c>
      <c r="O4" s="6">
        <f t="shared" si="1"/>
        <v>52.472920000000002</v>
      </c>
      <c r="P4" s="6">
        <f t="shared" si="1"/>
        <v>67.873735000000011</v>
      </c>
      <c r="Q4" s="6">
        <f t="shared" si="1"/>
        <v>67.344605000000001</v>
      </c>
      <c r="R4" s="6">
        <f t="shared" si="1"/>
        <v>71.47129000000001</v>
      </c>
      <c r="S4" s="6">
        <f t="shared" si="1"/>
        <v>73.354010000000002</v>
      </c>
      <c r="T4" s="6">
        <f t="shared" si="1"/>
        <v>72.970545000000001</v>
      </c>
      <c r="U4" s="6">
        <f t="shared" si="1"/>
        <v>63.372290000000007</v>
      </c>
      <c r="V4" s="6">
        <f t="shared" si="1"/>
        <v>72.500804999999986</v>
      </c>
      <c r="W4" s="6">
        <f t="shared" si="1"/>
        <v>78.618930000000006</v>
      </c>
      <c r="X4" s="6">
        <f t="shared" si="1"/>
        <v>60.522014999999996</v>
      </c>
      <c r="Y4" s="6">
        <f t="shared" si="1"/>
        <v>78.112909999999999</v>
      </c>
      <c r="Z4" s="6">
        <f t="shared" si="1"/>
        <v>84.649135000000001</v>
      </c>
      <c r="AA4" s="6">
        <f t="shared" si="1"/>
        <v>65.409269999999992</v>
      </c>
      <c r="AB4" s="6">
        <f t="shared" si="1"/>
        <v>65.850499999999997</v>
      </c>
      <c r="AC4" s="6">
        <f t="shared" si="1"/>
        <v>80.302334999999999</v>
      </c>
      <c r="AD4" s="6">
        <f t="shared" si="1"/>
        <v>80.249529999999993</v>
      </c>
      <c r="AE4" s="6">
        <f t="shared" si="1"/>
        <v>84.479465000000005</v>
      </c>
      <c r="AF4" s="6">
        <f t="shared" si="1"/>
        <v>82.104325000000017</v>
      </c>
      <c r="AG4" s="6">
        <f t="shared" si="1"/>
        <v>56.564814999999996</v>
      </c>
      <c r="AH4" s="6">
        <f t="shared" si="1"/>
        <v>56.704235000000004</v>
      </c>
      <c r="AI4" s="6">
        <f t="shared" si="1"/>
        <v>71.510889999999989</v>
      </c>
      <c r="AJ4" s="6">
        <f t="shared" si="1"/>
        <v>75.814634999999996</v>
      </c>
      <c r="AK4" s="6">
        <f t="shared" si="1"/>
        <v>71.668859999999995</v>
      </c>
      <c r="AL4" s="6">
        <f t="shared" si="1"/>
        <v>76.340859999999992</v>
      </c>
      <c r="AM4" s="6">
        <f t="shared" si="1"/>
        <v>59.198335</v>
      </c>
      <c r="AN4" s="6">
        <f t="shared" si="1"/>
        <v>69.865830000000003</v>
      </c>
      <c r="AO4" s="6">
        <f t="shared" si="1"/>
        <v>82.070490000000007</v>
      </c>
      <c r="AP4" s="6">
        <f t="shared" si="1"/>
        <v>70.362979999999993</v>
      </c>
      <c r="AQ4" s="6">
        <f t="shared" si="1"/>
        <v>80.538980000000009</v>
      </c>
      <c r="AR4" s="6">
        <f t="shared" si="1"/>
        <v>86.361760000000004</v>
      </c>
      <c r="AS4" s="6">
        <f t="shared" si="1"/>
        <v>70.32173499999999</v>
      </c>
      <c r="AT4" s="6">
        <f t="shared" si="1"/>
        <v>80.211675</v>
      </c>
      <c r="AU4" s="6">
        <f t="shared" si="1"/>
        <v>81.736540000000019</v>
      </c>
      <c r="AV4" s="6">
        <f t="shared" si="1"/>
        <v>68.437905000000001</v>
      </c>
      <c r="AW4" s="6">
        <f t="shared" si="1"/>
        <v>73.060389999999998</v>
      </c>
      <c r="AX4" s="6">
        <f t="shared" si="1"/>
        <v>75.066014999999993</v>
      </c>
    </row>
    <row r="5" spans="1:50" ht="23" customHeight="1" x14ac:dyDescent="0.45">
      <c r="A5" s="3" t="s">
        <v>23</v>
      </c>
      <c r="B5" s="4"/>
      <c r="C5" s="3" t="str">
        <f>IF(C4&lt;80,"K",IF(C4&lt;85,"C",IF(C4&lt;90,"B",IF(C4&lt;95,"BS",IF(C4&lt;=100,"IS","")))))</f>
        <v>K</v>
      </c>
      <c r="D5" s="3" t="str">
        <f t="shared" ref="D5:AX5" si="2">IF(D4&lt;80,"K",IF(D4&lt;85,"C",IF(D4&lt;90,"B",IF(D4&lt;95,"BS",IF(D4&lt;=100,"IS","")))))</f>
        <v>K</v>
      </c>
      <c r="E5" s="3" t="str">
        <f t="shared" si="2"/>
        <v>K</v>
      </c>
      <c r="F5" s="3" t="str">
        <f t="shared" si="2"/>
        <v>K</v>
      </c>
      <c r="G5" s="3" t="str">
        <f t="shared" si="2"/>
        <v>K</v>
      </c>
      <c r="H5" s="3" t="str">
        <f t="shared" si="2"/>
        <v>K</v>
      </c>
      <c r="I5" s="3" t="str">
        <f t="shared" si="2"/>
        <v>K</v>
      </c>
      <c r="J5" s="3" t="str">
        <f t="shared" si="2"/>
        <v>K</v>
      </c>
      <c r="K5" s="3" t="str">
        <f t="shared" si="2"/>
        <v>K</v>
      </c>
      <c r="L5" s="3" t="str">
        <f t="shared" si="2"/>
        <v>BS</v>
      </c>
      <c r="M5" s="3" t="str">
        <f t="shared" si="2"/>
        <v>C</v>
      </c>
      <c r="N5" s="3" t="str">
        <f t="shared" si="2"/>
        <v>B</v>
      </c>
      <c r="O5" s="3" t="str">
        <f t="shared" si="2"/>
        <v>K</v>
      </c>
      <c r="P5" s="3" t="str">
        <f t="shared" si="2"/>
        <v>K</v>
      </c>
      <c r="Q5" s="3" t="str">
        <f t="shared" si="2"/>
        <v>K</v>
      </c>
      <c r="R5" s="3" t="str">
        <f t="shared" si="2"/>
        <v>K</v>
      </c>
      <c r="S5" s="3" t="str">
        <f t="shared" si="2"/>
        <v>K</v>
      </c>
      <c r="T5" s="3" t="str">
        <f t="shared" si="2"/>
        <v>K</v>
      </c>
      <c r="U5" s="3" t="str">
        <f t="shared" si="2"/>
        <v>K</v>
      </c>
      <c r="V5" s="3" t="str">
        <f t="shared" si="2"/>
        <v>K</v>
      </c>
      <c r="W5" s="3" t="str">
        <f t="shared" si="2"/>
        <v>K</v>
      </c>
      <c r="X5" s="3" t="str">
        <f t="shared" si="2"/>
        <v>K</v>
      </c>
      <c r="Y5" s="3" t="str">
        <f t="shared" si="2"/>
        <v>K</v>
      </c>
      <c r="Z5" s="3" t="str">
        <f t="shared" si="2"/>
        <v>C</v>
      </c>
      <c r="AA5" s="3" t="str">
        <f t="shared" si="2"/>
        <v>K</v>
      </c>
      <c r="AB5" s="3" t="str">
        <f t="shared" si="2"/>
        <v>K</v>
      </c>
      <c r="AC5" s="3" t="str">
        <f t="shared" si="2"/>
        <v>C</v>
      </c>
      <c r="AD5" s="3" t="str">
        <f t="shared" si="2"/>
        <v>C</v>
      </c>
      <c r="AE5" s="3" t="str">
        <f t="shared" si="2"/>
        <v>C</v>
      </c>
      <c r="AF5" s="3" t="str">
        <f t="shared" si="2"/>
        <v>C</v>
      </c>
      <c r="AG5" s="3" t="str">
        <f t="shared" si="2"/>
        <v>K</v>
      </c>
      <c r="AH5" s="3" t="str">
        <f t="shared" si="2"/>
        <v>K</v>
      </c>
      <c r="AI5" s="3" t="str">
        <f t="shared" si="2"/>
        <v>K</v>
      </c>
      <c r="AJ5" s="3" t="str">
        <f t="shared" si="2"/>
        <v>K</v>
      </c>
      <c r="AK5" s="3" t="str">
        <f t="shared" si="2"/>
        <v>K</v>
      </c>
      <c r="AL5" s="3" t="str">
        <f t="shared" si="2"/>
        <v>K</v>
      </c>
      <c r="AM5" s="3" t="str">
        <f t="shared" si="2"/>
        <v>K</v>
      </c>
      <c r="AN5" s="3" t="str">
        <f t="shared" si="2"/>
        <v>K</v>
      </c>
      <c r="AO5" s="3" t="str">
        <f t="shared" si="2"/>
        <v>C</v>
      </c>
      <c r="AP5" s="3" t="str">
        <f t="shared" si="2"/>
        <v>K</v>
      </c>
      <c r="AQ5" s="3" t="str">
        <f t="shared" si="2"/>
        <v>C</v>
      </c>
      <c r="AR5" s="3" t="str">
        <f t="shared" si="2"/>
        <v>B</v>
      </c>
      <c r="AS5" s="3" t="str">
        <f t="shared" si="2"/>
        <v>K</v>
      </c>
      <c r="AT5" s="3" t="str">
        <f t="shared" si="2"/>
        <v>C</v>
      </c>
      <c r="AU5" s="3" t="str">
        <f t="shared" si="2"/>
        <v>C</v>
      </c>
      <c r="AV5" s="3" t="str">
        <f t="shared" si="2"/>
        <v>K</v>
      </c>
      <c r="AW5" s="3" t="str">
        <f t="shared" si="2"/>
        <v>K</v>
      </c>
      <c r="AX5" s="3" t="str">
        <f t="shared" si="2"/>
        <v>K</v>
      </c>
    </row>
    <row r="6" spans="1:50" ht="23" customHeight="1" x14ac:dyDescent="0.45">
      <c r="A6" s="7" t="s">
        <v>24</v>
      </c>
      <c r="B6" s="7"/>
      <c r="C6" s="8">
        <v>91.4709</v>
      </c>
      <c r="D6" s="8">
        <v>90.758700000000005</v>
      </c>
      <c r="E6" s="8">
        <v>89.267699999999991</v>
      </c>
      <c r="F6" s="8">
        <v>93.895600000000002</v>
      </c>
      <c r="G6" s="8">
        <v>92.637100000000004</v>
      </c>
      <c r="H6" s="8">
        <v>90.965800000000002</v>
      </c>
      <c r="I6" s="8">
        <v>97.7851</v>
      </c>
      <c r="J6" s="8">
        <v>94.325299999999999</v>
      </c>
      <c r="K6" s="8">
        <v>93.02709999999999</v>
      </c>
      <c r="L6" s="8">
        <v>97.453400000000002</v>
      </c>
      <c r="M6" s="8">
        <v>93.280299999999997</v>
      </c>
      <c r="N6" s="8">
        <v>88.692000000000007</v>
      </c>
      <c r="O6" s="8">
        <v>92.351200000000006</v>
      </c>
      <c r="P6" s="8">
        <v>90.482100000000003</v>
      </c>
      <c r="Q6" s="8">
        <v>88.320300000000003</v>
      </c>
      <c r="R6" s="8">
        <v>94.214399999999998</v>
      </c>
      <c r="S6" s="8">
        <v>92.118600000000001</v>
      </c>
      <c r="T6" s="8">
        <v>90.233699999999999</v>
      </c>
      <c r="U6" s="8">
        <v>98.374400000000009</v>
      </c>
      <c r="V6" s="8">
        <v>96.552300000000002</v>
      </c>
      <c r="W6" s="8">
        <v>93.7898</v>
      </c>
      <c r="X6" s="8">
        <v>98.750399999999999</v>
      </c>
      <c r="Y6" s="8">
        <v>96.685100000000006</v>
      </c>
      <c r="Z6" s="8">
        <v>95.976100000000002</v>
      </c>
      <c r="AA6" s="8">
        <v>98.43719999999999</v>
      </c>
      <c r="AB6" s="8">
        <v>97.004999999999995</v>
      </c>
      <c r="AC6" s="8">
        <v>95.628100000000003</v>
      </c>
      <c r="AD6" s="8">
        <v>96.893299999999996</v>
      </c>
      <c r="AE6" s="8">
        <v>93.81989999999999</v>
      </c>
      <c r="AF6" s="8">
        <v>92.094500000000011</v>
      </c>
      <c r="AG6" s="8">
        <v>98.795900000000003</v>
      </c>
      <c r="AH6" s="8">
        <v>97.662100000000009</v>
      </c>
      <c r="AI6" s="8">
        <v>95.720399999999998</v>
      </c>
      <c r="AJ6" s="8">
        <v>97.431100000000001</v>
      </c>
      <c r="AK6" s="8">
        <v>96.655900000000003</v>
      </c>
      <c r="AL6" s="8">
        <v>95.750900000000001</v>
      </c>
      <c r="AM6" s="8">
        <v>98.288100000000014</v>
      </c>
      <c r="AN6" s="8">
        <v>95.198800000000006</v>
      </c>
      <c r="AO6" s="8">
        <v>94.876400000000004</v>
      </c>
      <c r="AP6" s="8">
        <v>96.284199999999998</v>
      </c>
      <c r="AQ6" s="8">
        <v>94.344200000000001</v>
      </c>
      <c r="AR6" s="8">
        <v>93.521900000000002</v>
      </c>
      <c r="AS6" s="8">
        <v>100.2621</v>
      </c>
      <c r="AT6" s="8">
        <v>96.715499999999992</v>
      </c>
      <c r="AU6" s="8">
        <v>95.77940000000001</v>
      </c>
      <c r="AV6" s="8">
        <v>96.783299999999997</v>
      </c>
      <c r="AW6" s="8">
        <v>95.040400000000005</v>
      </c>
      <c r="AX6" s="8">
        <v>92.552900000000008</v>
      </c>
    </row>
    <row r="7" spans="1:50" ht="23" customHeight="1" x14ac:dyDescent="0.45">
      <c r="A7" s="9" t="s">
        <v>25</v>
      </c>
      <c r="B7" s="10">
        <v>1</v>
      </c>
      <c r="C7" s="11">
        <v>1</v>
      </c>
      <c r="D7" s="11">
        <v>1</v>
      </c>
      <c r="E7" s="11">
        <v>1</v>
      </c>
      <c r="F7" s="11">
        <v>1</v>
      </c>
      <c r="G7" s="11">
        <v>1</v>
      </c>
      <c r="H7" s="11">
        <v>1</v>
      </c>
      <c r="I7" s="11">
        <v>1</v>
      </c>
      <c r="J7" s="11">
        <v>1</v>
      </c>
      <c r="K7" s="11">
        <v>1</v>
      </c>
      <c r="L7" s="11">
        <v>1</v>
      </c>
      <c r="M7" s="11">
        <v>1</v>
      </c>
      <c r="N7" s="11">
        <v>0.99209999999999998</v>
      </c>
      <c r="O7" s="11">
        <v>1</v>
      </c>
      <c r="P7" s="11">
        <v>1</v>
      </c>
      <c r="Q7" s="11">
        <v>1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1</v>
      </c>
      <c r="AE7" s="11">
        <v>1</v>
      </c>
      <c r="AF7" s="11">
        <v>1</v>
      </c>
      <c r="AG7" s="11">
        <v>0</v>
      </c>
      <c r="AH7" s="11">
        <v>0</v>
      </c>
      <c r="AI7" s="11">
        <v>0</v>
      </c>
      <c r="AJ7" s="11">
        <v>1</v>
      </c>
      <c r="AK7" s="11">
        <v>1</v>
      </c>
      <c r="AL7" s="11">
        <v>1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0.99870000000000003</v>
      </c>
      <c r="AW7" s="11">
        <v>0.99970000000000003</v>
      </c>
      <c r="AX7" s="11">
        <v>0.99909999999999999</v>
      </c>
    </row>
    <row r="8" spans="1:50" ht="23" customHeight="1" x14ac:dyDescent="0.45">
      <c r="A8" s="9" t="s">
        <v>26</v>
      </c>
      <c r="B8" s="10">
        <v>5</v>
      </c>
      <c r="C8" s="11">
        <v>4.9874000000000001</v>
      </c>
      <c r="D8" s="11">
        <v>4.9828000000000001</v>
      </c>
      <c r="E8" s="11">
        <v>4.9763000000000002</v>
      </c>
      <c r="F8" s="11">
        <v>4.8798000000000004</v>
      </c>
      <c r="G8" s="11">
        <v>4.8853999999999997</v>
      </c>
      <c r="H8" s="11">
        <v>4.8731999999999998</v>
      </c>
      <c r="I8" s="11">
        <v>4.9272999999999998</v>
      </c>
      <c r="J8" s="11">
        <v>4.9151999999999996</v>
      </c>
      <c r="K8" s="11">
        <v>4.9263000000000003</v>
      </c>
      <c r="L8" s="11">
        <v>4.9691999999999998</v>
      </c>
      <c r="M8" s="11">
        <v>4.9581</v>
      </c>
      <c r="N8" s="11">
        <v>4.9455</v>
      </c>
      <c r="O8" s="11">
        <v>5</v>
      </c>
      <c r="P8" s="11">
        <v>5</v>
      </c>
      <c r="Q8" s="11">
        <v>4.9949000000000003</v>
      </c>
      <c r="R8" s="11">
        <v>5.0517000000000003</v>
      </c>
      <c r="S8" s="11">
        <v>5.0151000000000003</v>
      </c>
      <c r="T8" s="11">
        <v>5.0384000000000002</v>
      </c>
      <c r="U8" s="11">
        <v>5.25</v>
      </c>
      <c r="V8" s="11">
        <v>5.25</v>
      </c>
      <c r="W8" s="11">
        <v>5.25</v>
      </c>
      <c r="X8" s="11">
        <v>5.25</v>
      </c>
      <c r="Y8" s="11">
        <v>5.25</v>
      </c>
      <c r="Z8" s="11">
        <v>5.25</v>
      </c>
      <c r="AA8" s="11">
        <v>5.25</v>
      </c>
      <c r="AB8" s="11">
        <v>5.25</v>
      </c>
      <c r="AC8" s="11">
        <v>5.25</v>
      </c>
      <c r="AD8" s="11">
        <v>4.9989999999999997</v>
      </c>
      <c r="AE8" s="11">
        <v>4.9843999999999999</v>
      </c>
      <c r="AF8" s="11">
        <v>4.9787999999999997</v>
      </c>
      <c r="AG8" s="11">
        <v>5.25</v>
      </c>
      <c r="AH8" s="11">
        <v>5.25</v>
      </c>
      <c r="AI8" s="11">
        <v>5.25</v>
      </c>
      <c r="AJ8" s="11">
        <v>4.8888999999999996</v>
      </c>
      <c r="AK8" s="11">
        <v>4.8979999999999997</v>
      </c>
      <c r="AL8" s="11">
        <v>4.9081000000000001</v>
      </c>
      <c r="AM8" s="11">
        <v>5.1996000000000002</v>
      </c>
      <c r="AN8" s="11">
        <v>5.2012</v>
      </c>
      <c r="AO8" s="11">
        <v>5.2240000000000002</v>
      </c>
      <c r="AP8" s="11">
        <v>5.2145000000000001</v>
      </c>
      <c r="AQ8" s="11">
        <v>5.2161</v>
      </c>
      <c r="AR8" s="11">
        <v>5.2069999999999999</v>
      </c>
      <c r="AS8" s="11">
        <v>5.25</v>
      </c>
      <c r="AT8" s="11">
        <v>5.25</v>
      </c>
      <c r="AU8" s="11">
        <v>5.25</v>
      </c>
      <c r="AV8" s="11">
        <v>4.9443999999999999</v>
      </c>
      <c r="AW8" s="11">
        <v>4.9717000000000002</v>
      </c>
      <c r="AX8" s="11">
        <v>4.9837999999999996</v>
      </c>
    </row>
    <row r="9" spans="1:50" ht="23" customHeight="1" x14ac:dyDescent="0.45">
      <c r="A9" s="9" t="s">
        <v>27</v>
      </c>
      <c r="B9" s="10">
        <v>23</v>
      </c>
      <c r="C9" s="11">
        <v>23</v>
      </c>
      <c r="D9" s="11">
        <v>23</v>
      </c>
      <c r="E9" s="11">
        <v>23</v>
      </c>
      <c r="F9" s="11">
        <v>22.6709</v>
      </c>
      <c r="G9" s="11">
        <v>22.647500000000001</v>
      </c>
      <c r="H9" s="11">
        <v>22.5168</v>
      </c>
      <c r="I9" s="11">
        <v>22.805199999999999</v>
      </c>
      <c r="J9" s="11">
        <v>22.696200000000001</v>
      </c>
      <c r="K9" s="11">
        <v>22.7148</v>
      </c>
      <c r="L9" s="11">
        <v>23</v>
      </c>
      <c r="M9" s="11">
        <v>22.896899999999999</v>
      </c>
      <c r="N9" s="11">
        <v>22.800899999999999</v>
      </c>
      <c r="O9" s="11">
        <v>22.948499999999999</v>
      </c>
      <c r="P9" s="11">
        <v>22.8993</v>
      </c>
      <c r="Q9" s="11">
        <v>22.880500000000001</v>
      </c>
      <c r="R9" s="11">
        <v>22.494700000000002</v>
      </c>
      <c r="S9" s="11">
        <v>22.146699999999999</v>
      </c>
      <c r="T9" s="11">
        <v>22.160900000000002</v>
      </c>
      <c r="U9" s="11">
        <v>23.25</v>
      </c>
      <c r="V9" s="11">
        <v>23.25</v>
      </c>
      <c r="W9" s="11">
        <v>23.25</v>
      </c>
      <c r="X9" s="11">
        <v>23.238199999999999</v>
      </c>
      <c r="Y9" s="11">
        <v>23.25</v>
      </c>
      <c r="Z9" s="11">
        <v>23.247599999999998</v>
      </c>
      <c r="AA9" s="11">
        <v>23.25</v>
      </c>
      <c r="AB9" s="11">
        <v>23.25</v>
      </c>
      <c r="AC9" s="11">
        <v>23.25</v>
      </c>
      <c r="AD9" s="11">
        <v>22.997699999999998</v>
      </c>
      <c r="AE9" s="11">
        <v>22.9651</v>
      </c>
      <c r="AF9" s="11">
        <v>22.816099999999999</v>
      </c>
      <c r="AG9" s="11">
        <v>23.25</v>
      </c>
      <c r="AH9" s="11">
        <v>23.25</v>
      </c>
      <c r="AI9" s="11">
        <v>23.25</v>
      </c>
      <c r="AJ9" s="11">
        <v>22.629899999999999</v>
      </c>
      <c r="AK9" s="11">
        <v>22.667400000000001</v>
      </c>
      <c r="AL9" s="11">
        <v>22.643999999999998</v>
      </c>
      <c r="AM9" s="11">
        <v>23.25</v>
      </c>
      <c r="AN9" s="11">
        <v>23.25</v>
      </c>
      <c r="AO9" s="11">
        <v>23.25</v>
      </c>
      <c r="AP9" s="11">
        <v>23.1553</v>
      </c>
      <c r="AQ9" s="11">
        <v>23.2026</v>
      </c>
      <c r="AR9" s="11">
        <v>23.195499999999999</v>
      </c>
      <c r="AS9" s="11">
        <v>23.25</v>
      </c>
      <c r="AT9" s="11">
        <v>23.25</v>
      </c>
      <c r="AU9" s="11">
        <v>23.25</v>
      </c>
      <c r="AV9" s="11">
        <v>22.962499999999999</v>
      </c>
      <c r="AW9" s="11">
        <v>22.775200000000002</v>
      </c>
      <c r="AX9" s="11">
        <v>22.7377</v>
      </c>
    </row>
    <row r="10" spans="1:50" ht="23" customHeight="1" x14ac:dyDescent="0.45">
      <c r="A10" s="9" t="s">
        <v>28</v>
      </c>
      <c r="B10" s="10">
        <v>14</v>
      </c>
      <c r="C10" s="11">
        <v>13.9117</v>
      </c>
      <c r="D10" s="11">
        <v>13.9245</v>
      </c>
      <c r="E10" s="11">
        <v>13.9003</v>
      </c>
      <c r="F10" s="11">
        <v>13.841799999999999</v>
      </c>
      <c r="G10" s="11">
        <v>13.784700000000001</v>
      </c>
      <c r="H10" s="11">
        <v>13.7662</v>
      </c>
      <c r="I10" s="11">
        <v>13.820499999999999</v>
      </c>
      <c r="J10" s="11">
        <v>13.7767</v>
      </c>
      <c r="K10" s="11">
        <v>13.734299999999999</v>
      </c>
      <c r="L10" s="11">
        <v>14</v>
      </c>
      <c r="M10" s="11">
        <v>14</v>
      </c>
      <c r="N10" s="11">
        <v>14</v>
      </c>
      <c r="O10" s="11">
        <v>13.8322</v>
      </c>
      <c r="P10" s="11">
        <v>13.885300000000001</v>
      </c>
      <c r="Q10" s="11">
        <v>13.871</v>
      </c>
      <c r="R10" s="11">
        <v>14.1501</v>
      </c>
      <c r="S10" s="11">
        <v>13.987</v>
      </c>
      <c r="T10" s="11">
        <v>13.9297</v>
      </c>
      <c r="U10" s="11">
        <v>14.25</v>
      </c>
      <c r="V10" s="11">
        <v>14.25</v>
      </c>
      <c r="W10" s="11">
        <v>14.25</v>
      </c>
      <c r="X10" s="11">
        <v>14.25</v>
      </c>
      <c r="Y10" s="11">
        <v>14.25</v>
      </c>
      <c r="Z10" s="11">
        <v>14.25</v>
      </c>
      <c r="AA10" s="11">
        <v>14.25</v>
      </c>
      <c r="AB10" s="11">
        <v>14.25</v>
      </c>
      <c r="AC10" s="11">
        <v>14.25</v>
      </c>
      <c r="AD10" s="11">
        <v>13.812900000000001</v>
      </c>
      <c r="AE10" s="11">
        <v>13.803000000000001</v>
      </c>
      <c r="AF10" s="11">
        <v>13.814299999999999</v>
      </c>
      <c r="AG10" s="11">
        <v>14.25</v>
      </c>
      <c r="AH10" s="11">
        <v>14.25</v>
      </c>
      <c r="AI10" s="11">
        <v>14.25</v>
      </c>
      <c r="AJ10" s="11">
        <v>13.651999999999999</v>
      </c>
      <c r="AK10" s="11">
        <v>13.677899999999999</v>
      </c>
      <c r="AL10" s="11">
        <v>13.699400000000001</v>
      </c>
      <c r="AM10" s="11">
        <v>14.25</v>
      </c>
      <c r="AN10" s="11">
        <v>14.25</v>
      </c>
      <c r="AO10" s="11">
        <v>14.25</v>
      </c>
      <c r="AP10" s="11">
        <v>14.25</v>
      </c>
      <c r="AQ10" s="11">
        <v>14.25</v>
      </c>
      <c r="AR10" s="11">
        <v>14.25</v>
      </c>
      <c r="AS10" s="11">
        <v>14.25</v>
      </c>
      <c r="AT10" s="11">
        <v>14.25</v>
      </c>
      <c r="AU10" s="11">
        <v>14.25</v>
      </c>
      <c r="AV10" s="11">
        <v>14</v>
      </c>
      <c r="AW10" s="11">
        <v>14</v>
      </c>
      <c r="AX10" s="11">
        <v>14</v>
      </c>
    </row>
    <row r="11" spans="1:50" ht="23" customHeight="1" x14ac:dyDescent="0.45">
      <c r="A11" s="9" t="s">
        <v>29</v>
      </c>
      <c r="B11" s="10">
        <v>7</v>
      </c>
      <c r="C11" s="11">
        <v>6.9448999999999996</v>
      </c>
      <c r="D11" s="11">
        <v>6.95</v>
      </c>
      <c r="E11" s="11">
        <v>6.9355000000000002</v>
      </c>
      <c r="F11" s="11">
        <v>7</v>
      </c>
      <c r="G11" s="11">
        <v>7</v>
      </c>
      <c r="H11" s="11">
        <v>6.9935999999999998</v>
      </c>
      <c r="I11" s="11">
        <v>6.8638000000000003</v>
      </c>
      <c r="J11" s="11">
        <v>6.8376000000000001</v>
      </c>
      <c r="K11" s="11">
        <v>6.8659999999999997</v>
      </c>
      <c r="L11" s="11">
        <v>7</v>
      </c>
      <c r="M11" s="11">
        <v>7</v>
      </c>
      <c r="N11" s="11">
        <v>7</v>
      </c>
      <c r="O11" s="11">
        <v>6.6883999999999997</v>
      </c>
      <c r="P11" s="11">
        <v>6.6927000000000003</v>
      </c>
      <c r="Q11" s="11">
        <v>6.6632999999999996</v>
      </c>
      <c r="R11" s="11">
        <v>7.25</v>
      </c>
      <c r="S11" s="11">
        <v>7.2462</v>
      </c>
      <c r="T11" s="11">
        <v>7.2168000000000001</v>
      </c>
      <c r="U11" s="11">
        <v>7.25</v>
      </c>
      <c r="V11" s="11">
        <v>7.25</v>
      </c>
      <c r="W11" s="11">
        <v>7.25</v>
      </c>
      <c r="X11" s="11">
        <v>7.25</v>
      </c>
      <c r="Y11" s="11">
        <v>7.25</v>
      </c>
      <c r="Z11" s="11">
        <v>7.25</v>
      </c>
      <c r="AA11" s="11">
        <v>7.25</v>
      </c>
      <c r="AB11" s="11">
        <v>7.25</v>
      </c>
      <c r="AC11" s="11">
        <v>7.25</v>
      </c>
      <c r="AD11" s="11">
        <v>6.9843000000000002</v>
      </c>
      <c r="AE11" s="11">
        <v>6.9694000000000003</v>
      </c>
      <c r="AF11" s="11">
        <v>6.9650999999999996</v>
      </c>
      <c r="AG11" s="11">
        <v>7.25</v>
      </c>
      <c r="AH11" s="11">
        <v>7.25</v>
      </c>
      <c r="AI11" s="11">
        <v>7.25</v>
      </c>
      <c r="AJ11" s="11">
        <v>6.9795999999999996</v>
      </c>
      <c r="AK11" s="11">
        <v>7</v>
      </c>
      <c r="AL11" s="11">
        <v>7</v>
      </c>
      <c r="AM11" s="11">
        <v>7.25</v>
      </c>
      <c r="AN11" s="11">
        <v>7.25</v>
      </c>
      <c r="AO11" s="11">
        <v>7.25</v>
      </c>
      <c r="AP11" s="11">
        <v>7.1199000000000003</v>
      </c>
      <c r="AQ11" s="11">
        <v>7.0887000000000002</v>
      </c>
      <c r="AR11" s="11">
        <v>7.1369999999999996</v>
      </c>
      <c r="AS11" s="11">
        <v>7.25</v>
      </c>
      <c r="AT11" s="11">
        <v>7.25</v>
      </c>
      <c r="AU11" s="11">
        <v>7.25</v>
      </c>
      <c r="AV11" s="11">
        <v>6.9417</v>
      </c>
      <c r="AW11" s="11">
        <v>6.9545000000000003</v>
      </c>
      <c r="AX11" s="11">
        <v>6.9474</v>
      </c>
    </row>
    <row r="12" spans="1:50" ht="23" customHeight="1" x14ac:dyDescent="0.45">
      <c r="A12" s="9" t="s">
        <v>30</v>
      </c>
      <c r="B12" s="10">
        <v>50</v>
      </c>
      <c r="C12" s="11">
        <v>41.626899999999999</v>
      </c>
      <c r="D12" s="11">
        <v>40.901400000000002</v>
      </c>
      <c r="E12" s="11">
        <v>39.455599999999997</v>
      </c>
      <c r="F12" s="11">
        <v>44.503100000000003</v>
      </c>
      <c r="G12" s="11">
        <v>43.319499999999998</v>
      </c>
      <c r="H12" s="11">
        <v>41.816000000000003</v>
      </c>
      <c r="I12" s="11">
        <v>48.368299999999998</v>
      </c>
      <c r="J12" s="11">
        <v>45.099600000000002</v>
      </c>
      <c r="K12" s="11">
        <v>43.785699999999999</v>
      </c>
      <c r="L12" s="11">
        <v>47.484200000000001</v>
      </c>
      <c r="M12" s="11">
        <v>43.4253</v>
      </c>
      <c r="N12" s="11">
        <v>38.953499999999998</v>
      </c>
      <c r="O12" s="11">
        <v>42.882100000000001</v>
      </c>
      <c r="P12" s="11">
        <v>41.004800000000003</v>
      </c>
      <c r="Q12" s="11">
        <v>38.910600000000002</v>
      </c>
      <c r="R12" s="11">
        <v>45.267899999999997</v>
      </c>
      <c r="S12" s="11">
        <v>43.723599999999998</v>
      </c>
      <c r="T12" s="11">
        <v>41.887900000000002</v>
      </c>
      <c r="U12" s="11">
        <v>48.374400000000001</v>
      </c>
      <c r="V12" s="11">
        <v>46.552300000000002</v>
      </c>
      <c r="W12" s="11">
        <v>43.7898</v>
      </c>
      <c r="X12" s="11">
        <v>48.7622</v>
      </c>
      <c r="Y12" s="11">
        <v>46.685099999999998</v>
      </c>
      <c r="Z12" s="11">
        <v>45.978499999999997</v>
      </c>
      <c r="AA12" s="11">
        <v>48.437199999999997</v>
      </c>
      <c r="AB12" s="11">
        <v>47.005000000000003</v>
      </c>
      <c r="AC12" s="11">
        <v>45.628100000000003</v>
      </c>
      <c r="AD12" s="11">
        <v>47.099400000000003</v>
      </c>
      <c r="AE12" s="11">
        <v>44.097999999999999</v>
      </c>
      <c r="AF12" s="11">
        <v>42.520200000000003</v>
      </c>
      <c r="AG12" s="11">
        <v>48.795900000000003</v>
      </c>
      <c r="AH12" s="11">
        <v>47.662100000000002</v>
      </c>
      <c r="AI12" s="11">
        <v>45.720399999999998</v>
      </c>
      <c r="AJ12" s="11">
        <v>48.280700000000003</v>
      </c>
      <c r="AK12" s="11">
        <v>47.412599999999998</v>
      </c>
      <c r="AL12" s="11">
        <v>46.499400000000001</v>
      </c>
      <c r="AM12" s="11">
        <v>48.338500000000003</v>
      </c>
      <c r="AN12" s="11">
        <v>45.247599999999998</v>
      </c>
      <c r="AO12" s="11">
        <v>44.9024</v>
      </c>
      <c r="AP12" s="11">
        <v>46.544499999999999</v>
      </c>
      <c r="AQ12" s="11">
        <v>44.586799999999997</v>
      </c>
      <c r="AR12" s="11">
        <v>43.732399999999998</v>
      </c>
      <c r="AS12" s="11">
        <v>50.262099999999997</v>
      </c>
      <c r="AT12" s="11">
        <v>46.715499999999999</v>
      </c>
      <c r="AU12" s="11">
        <v>45.779400000000003</v>
      </c>
      <c r="AV12" s="11">
        <v>46.936</v>
      </c>
      <c r="AW12" s="11">
        <v>45.339300000000001</v>
      </c>
      <c r="AX12" s="11">
        <v>42.884900000000002</v>
      </c>
    </row>
    <row r="13" spans="1:50" ht="23" customHeight="1" x14ac:dyDescent="0.45">
      <c r="A13" s="7" t="s">
        <v>31</v>
      </c>
      <c r="B13" s="7"/>
      <c r="C13" s="8">
        <v>65.400000000000006</v>
      </c>
      <c r="D13" s="8">
        <v>68.899999999999991</v>
      </c>
      <c r="E13" s="8">
        <v>66.974999999999994</v>
      </c>
      <c r="F13" s="8">
        <v>59.100000000000009</v>
      </c>
      <c r="G13" s="8">
        <v>67.425000000000011</v>
      </c>
      <c r="H13" s="8">
        <v>65.05</v>
      </c>
      <c r="I13" s="8">
        <v>56.212499999999999</v>
      </c>
      <c r="J13" s="8">
        <v>67.4375</v>
      </c>
      <c r="K13" s="8">
        <v>62.362499999999997</v>
      </c>
      <c r="L13" s="8">
        <v>90.875</v>
      </c>
      <c r="M13" s="8">
        <v>77.875</v>
      </c>
      <c r="N13" s="8">
        <v>88.55</v>
      </c>
      <c r="O13" s="8">
        <v>31</v>
      </c>
      <c r="P13" s="8">
        <v>55.7</v>
      </c>
      <c r="Q13" s="8">
        <v>56.05</v>
      </c>
      <c r="R13" s="8">
        <v>59.225000000000001</v>
      </c>
      <c r="S13" s="8">
        <v>63.25</v>
      </c>
      <c r="T13" s="8">
        <v>63.675000000000004</v>
      </c>
      <c r="U13" s="8">
        <v>44.524999999999999</v>
      </c>
      <c r="V13" s="8">
        <v>59.55</v>
      </c>
      <c r="W13" s="8">
        <v>70.45</v>
      </c>
      <c r="X13" s="8">
        <v>39.9375</v>
      </c>
      <c r="Y13" s="8">
        <v>68.112500000000011</v>
      </c>
      <c r="Z13" s="8">
        <v>78.550000000000011</v>
      </c>
      <c r="AA13" s="8">
        <v>47.625</v>
      </c>
      <c r="AB13" s="8">
        <v>49.075000000000003</v>
      </c>
      <c r="AC13" s="8">
        <v>72.050000000000011</v>
      </c>
      <c r="AD13" s="8">
        <v>71.287499999999994</v>
      </c>
      <c r="AE13" s="8">
        <v>79.45</v>
      </c>
      <c r="AF13" s="8">
        <v>76.725000000000009</v>
      </c>
      <c r="AG13" s="8">
        <v>33.825000000000003</v>
      </c>
      <c r="AH13" s="8">
        <v>34.65</v>
      </c>
      <c r="AI13" s="8">
        <v>58.475000000000001</v>
      </c>
      <c r="AJ13" s="8">
        <v>64.174999999999997</v>
      </c>
      <c r="AK13" s="8">
        <v>58.214300000000001</v>
      </c>
      <c r="AL13" s="8">
        <v>65.889299999999992</v>
      </c>
      <c r="AM13" s="8">
        <v>38.15</v>
      </c>
      <c r="AN13" s="8">
        <v>56.225000000000001</v>
      </c>
      <c r="AO13" s="8">
        <v>75.175000000000011</v>
      </c>
      <c r="AP13" s="8">
        <v>56.405399999999993</v>
      </c>
      <c r="AQ13" s="8">
        <v>73.105400000000003</v>
      </c>
      <c r="AR13" s="8">
        <v>82.50630000000001</v>
      </c>
      <c r="AS13" s="8">
        <v>54.199999999999996</v>
      </c>
      <c r="AT13" s="8">
        <v>71.325000000000003</v>
      </c>
      <c r="AU13" s="8">
        <v>74.175000000000011</v>
      </c>
      <c r="AV13" s="8">
        <v>53.174999999999997</v>
      </c>
      <c r="AW13" s="8">
        <v>61.224999999999994</v>
      </c>
      <c r="AX13" s="8">
        <v>65.649999999999991</v>
      </c>
    </row>
    <row r="14" spans="1:50" ht="23" customHeight="1" x14ac:dyDescent="0.45">
      <c r="A14" s="9" t="s">
        <v>32</v>
      </c>
      <c r="B14" s="10">
        <v>42</v>
      </c>
      <c r="C14" s="11">
        <v>26.8</v>
      </c>
      <c r="D14" s="11">
        <v>26.1</v>
      </c>
      <c r="E14" s="11">
        <v>25.4</v>
      </c>
      <c r="F14" s="11">
        <v>24.3</v>
      </c>
      <c r="G14" s="11">
        <v>31.3</v>
      </c>
      <c r="H14" s="11">
        <v>27.1</v>
      </c>
      <c r="I14" s="11">
        <v>28.25</v>
      </c>
      <c r="J14" s="11">
        <v>34.299999999999997</v>
      </c>
      <c r="K14" s="11">
        <v>33.299999999999997</v>
      </c>
      <c r="L14" s="11">
        <v>36.799999999999997</v>
      </c>
      <c r="M14" s="11">
        <v>25.1</v>
      </c>
      <c r="N14" s="11">
        <v>35.799999999999997</v>
      </c>
      <c r="O14" s="11">
        <v>16</v>
      </c>
      <c r="P14" s="11">
        <v>19.7</v>
      </c>
      <c r="Q14" s="11">
        <v>19.7</v>
      </c>
      <c r="R14" s="11">
        <v>21.3</v>
      </c>
      <c r="S14" s="11">
        <v>24.6</v>
      </c>
      <c r="T14" s="11">
        <v>24.6</v>
      </c>
      <c r="U14" s="11">
        <v>10.8</v>
      </c>
      <c r="V14" s="11">
        <v>24.1</v>
      </c>
      <c r="W14" s="11">
        <v>31.5</v>
      </c>
      <c r="X14" s="11">
        <v>11.5</v>
      </c>
      <c r="Y14" s="11">
        <v>33.799999999999997</v>
      </c>
      <c r="Z14" s="11">
        <v>34.1</v>
      </c>
      <c r="AA14" s="11">
        <v>18.100000000000001</v>
      </c>
      <c r="AB14" s="11">
        <v>18.100000000000001</v>
      </c>
      <c r="AC14" s="11">
        <v>34.4</v>
      </c>
      <c r="AD14" s="11">
        <v>26</v>
      </c>
      <c r="AE14" s="11">
        <v>31.5</v>
      </c>
      <c r="AF14" s="11">
        <v>34.5</v>
      </c>
      <c r="AG14" s="11">
        <v>4.5</v>
      </c>
      <c r="AH14" s="11">
        <v>4.5</v>
      </c>
      <c r="AI14" s="11">
        <v>28.85</v>
      </c>
      <c r="AJ14" s="11">
        <v>22.3</v>
      </c>
      <c r="AK14" s="11">
        <v>24.3</v>
      </c>
      <c r="AL14" s="11">
        <v>31.3</v>
      </c>
      <c r="AM14" s="11">
        <v>10.3</v>
      </c>
      <c r="AN14" s="11">
        <v>23.8</v>
      </c>
      <c r="AO14" s="11">
        <v>30.25</v>
      </c>
      <c r="AP14" s="11">
        <v>28.9</v>
      </c>
      <c r="AQ14" s="11">
        <v>36.799999999999997</v>
      </c>
      <c r="AR14" s="11">
        <v>37.1</v>
      </c>
      <c r="AS14" s="11">
        <v>15.2</v>
      </c>
      <c r="AT14" s="11">
        <v>29.1</v>
      </c>
      <c r="AU14" s="11">
        <v>28.4</v>
      </c>
      <c r="AV14" s="11">
        <v>17.7</v>
      </c>
      <c r="AW14" s="11">
        <v>22.7</v>
      </c>
      <c r="AX14" s="11">
        <v>22.7</v>
      </c>
    </row>
    <row r="15" spans="1:50" ht="23" customHeight="1" x14ac:dyDescent="0.45">
      <c r="A15" s="9" t="s">
        <v>33</v>
      </c>
      <c r="B15" s="10">
        <v>8.5</v>
      </c>
      <c r="C15" s="11">
        <v>5.45</v>
      </c>
      <c r="D15" s="11">
        <v>7.9249999999999998</v>
      </c>
      <c r="E15" s="11">
        <v>7.7750000000000004</v>
      </c>
      <c r="F15" s="11">
        <v>2.1749999999999998</v>
      </c>
      <c r="G15" s="11">
        <v>8.15</v>
      </c>
      <c r="H15" s="11">
        <v>8</v>
      </c>
      <c r="I15" s="11">
        <v>1</v>
      </c>
      <c r="J15" s="11">
        <v>4.8499999999999996</v>
      </c>
      <c r="K15" s="11">
        <v>2.5</v>
      </c>
      <c r="L15" s="11">
        <v>8.0749999999999993</v>
      </c>
      <c r="M15" s="11">
        <v>8.0749999999999993</v>
      </c>
      <c r="N15" s="11">
        <v>8.0500000000000007</v>
      </c>
      <c r="O15" s="11">
        <v>0</v>
      </c>
      <c r="P15" s="11">
        <v>4.5250000000000004</v>
      </c>
      <c r="Q15" s="11">
        <v>4.5999999999999996</v>
      </c>
      <c r="R15" s="11">
        <v>8.0749999999999993</v>
      </c>
      <c r="S15" s="11">
        <v>8.125</v>
      </c>
      <c r="T15" s="11">
        <v>8.2750000000000004</v>
      </c>
      <c r="U15" s="11">
        <v>6.9749999999999996</v>
      </c>
      <c r="V15" s="11">
        <v>7.65</v>
      </c>
      <c r="W15" s="11">
        <v>7.7249999999999996</v>
      </c>
      <c r="X15" s="11">
        <v>3.8125</v>
      </c>
      <c r="Y15" s="11">
        <v>5.0750000000000002</v>
      </c>
      <c r="Z15" s="11">
        <v>5.125</v>
      </c>
      <c r="AA15" s="11">
        <v>1.7250000000000001</v>
      </c>
      <c r="AB15" s="11">
        <v>1.8</v>
      </c>
      <c r="AC15" s="11">
        <v>2.7</v>
      </c>
      <c r="AD15" s="11">
        <v>3.7625000000000002</v>
      </c>
      <c r="AE15" s="11">
        <v>5.2</v>
      </c>
      <c r="AF15" s="11">
        <v>5.2</v>
      </c>
      <c r="AG15" s="11">
        <v>1.9</v>
      </c>
      <c r="AH15" s="11">
        <v>2.7250000000000001</v>
      </c>
      <c r="AI15" s="11">
        <v>2.75</v>
      </c>
      <c r="AJ15" s="11">
        <v>7.625</v>
      </c>
      <c r="AK15" s="11">
        <v>7.625</v>
      </c>
      <c r="AL15" s="11">
        <v>7.75</v>
      </c>
      <c r="AM15" s="11">
        <v>4.9000000000000004</v>
      </c>
      <c r="AN15" s="11">
        <v>7.5250000000000004</v>
      </c>
      <c r="AO15" s="11">
        <v>8.2249999999999996</v>
      </c>
      <c r="AP15" s="11">
        <v>1.5</v>
      </c>
      <c r="AQ15" s="11">
        <v>4.875</v>
      </c>
      <c r="AR15" s="11">
        <v>8.0500000000000007</v>
      </c>
      <c r="AS15" s="11">
        <v>7</v>
      </c>
      <c r="AT15" s="11">
        <v>7.2750000000000004</v>
      </c>
      <c r="AU15" s="11">
        <v>8.0500000000000007</v>
      </c>
      <c r="AV15" s="11">
        <v>1.9750000000000001</v>
      </c>
      <c r="AW15" s="11">
        <v>4.4249999999999998</v>
      </c>
      <c r="AX15" s="11">
        <v>4.4749999999999996</v>
      </c>
    </row>
    <row r="16" spans="1:50" ht="23" customHeight="1" x14ac:dyDescent="0.45">
      <c r="A16" s="9" t="s">
        <v>34</v>
      </c>
      <c r="B16" s="10">
        <v>1</v>
      </c>
      <c r="C16" s="11">
        <v>2.5000000000000001E-2</v>
      </c>
      <c r="D16" s="11">
        <v>0.15</v>
      </c>
      <c r="E16" s="11">
        <v>0.15</v>
      </c>
      <c r="F16" s="11">
        <v>0</v>
      </c>
      <c r="G16" s="11">
        <v>1</v>
      </c>
      <c r="H16" s="11">
        <v>1</v>
      </c>
      <c r="I16" s="11">
        <v>0</v>
      </c>
      <c r="J16" s="11">
        <v>1</v>
      </c>
      <c r="K16" s="11">
        <v>1</v>
      </c>
      <c r="L16" s="11">
        <v>0</v>
      </c>
      <c r="M16" s="11">
        <v>0</v>
      </c>
      <c r="N16" s="11">
        <v>0</v>
      </c>
      <c r="O16" s="11">
        <v>0</v>
      </c>
      <c r="P16" s="11">
        <v>1</v>
      </c>
      <c r="Q16" s="11">
        <v>1</v>
      </c>
      <c r="R16" s="11">
        <v>2.5000000000000001E-2</v>
      </c>
      <c r="S16" s="11">
        <v>0.15</v>
      </c>
      <c r="T16" s="11">
        <v>0.15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1</v>
      </c>
      <c r="AC16" s="11">
        <v>1</v>
      </c>
      <c r="AD16" s="11">
        <v>0</v>
      </c>
      <c r="AE16" s="11">
        <v>1</v>
      </c>
      <c r="AF16" s="11">
        <v>1</v>
      </c>
      <c r="AG16" s="11">
        <v>0</v>
      </c>
      <c r="AH16" s="11">
        <v>0</v>
      </c>
      <c r="AI16" s="11">
        <v>0</v>
      </c>
      <c r="AJ16" s="11">
        <v>0</v>
      </c>
      <c r="AK16" s="11">
        <v>1</v>
      </c>
      <c r="AL16" s="11">
        <v>1</v>
      </c>
      <c r="AM16" s="11">
        <v>0</v>
      </c>
      <c r="AN16" s="11">
        <v>1</v>
      </c>
      <c r="AO16" s="11">
        <v>1</v>
      </c>
      <c r="AP16" s="11">
        <v>0</v>
      </c>
      <c r="AQ16" s="11">
        <v>0</v>
      </c>
      <c r="AR16" s="11">
        <v>0</v>
      </c>
      <c r="AS16" s="11">
        <v>0.1</v>
      </c>
      <c r="AT16" s="11">
        <v>0.22500000000000001</v>
      </c>
      <c r="AU16" s="11">
        <v>0.22500000000000001</v>
      </c>
      <c r="AV16" s="11">
        <v>0</v>
      </c>
      <c r="AW16" s="11">
        <v>1</v>
      </c>
      <c r="AX16" s="11">
        <v>1</v>
      </c>
    </row>
    <row r="17" spans="1:50" ht="23" customHeight="1" x14ac:dyDescent="0.45">
      <c r="A17" s="9" t="s">
        <v>35</v>
      </c>
      <c r="B17" s="10">
        <v>20</v>
      </c>
      <c r="C17" s="11">
        <v>11.975</v>
      </c>
      <c r="D17" s="11">
        <v>12.425000000000001</v>
      </c>
      <c r="E17" s="11">
        <v>11.975</v>
      </c>
      <c r="F17" s="11">
        <v>14.05</v>
      </c>
      <c r="G17" s="11">
        <v>8.1999999999999993</v>
      </c>
      <c r="H17" s="11">
        <v>8.1999999999999993</v>
      </c>
      <c r="I17" s="11">
        <v>7.55</v>
      </c>
      <c r="J17" s="11">
        <v>7.25</v>
      </c>
      <c r="K17" s="11">
        <v>5.25</v>
      </c>
      <c r="L17" s="11">
        <v>19.425000000000001</v>
      </c>
      <c r="M17" s="11">
        <v>17.850000000000001</v>
      </c>
      <c r="N17" s="11">
        <v>17.850000000000001</v>
      </c>
      <c r="O17" s="11">
        <v>0</v>
      </c>
      <c r="P17" s="11">
        <v>10.15</v>
      </c>
      <c r="Q17" s="11">
        <v>10.15</v>
      </c>
      <c r="R17" s="11">
        <v>8.8000000000000007</v>
      </c>
      <c r="S17" s="11">
        <v>8.8000000000000007</v>
      </c>
      <c r="T17" s="11">
        <v>8.8000000000000007</v>
      </c>
      <c r="U17" s="11">
        <v>7.35</v>
      </c>
      <c r="V17" s="11">
        <v>8.4</v>
      </c>
      <c r="W17" s="11">
        <v>11.55</v>
      </c>
      <c r="X17" s="11">
        <v>5.7750000000000004</v>
      </c>
      <c r="Y17" s="11">
        <v>10.387499999999999</v>
      </c>
      <c r="Z17" s="11">
        <v>15.8</v>
      </c>
      <c r="AA17" s="11">
        <v>8.4</v>
      </c>
      <c r="AB17" s="11">
        <v>8.5</v>
      </c>
      <c r="AC17" s="11">
        <v>14</v>
      </c>
      <c r="AD17" s="11">
        <v>18.600000000000001</v>
      </c>
      <c r="AE17" s="11">
        <v>18.225000000000001</v>
      </c>
      <c r="AF17" s="11">
        <v>18.5</v>
      </c>
      <c r="AG17" s="11">
        <v>7.3</v>
      </c>
      <c r="AH17" s="11">
        <v>7.3</v>
      </c>
      <c r="AI17" s="11">
        <v>7.3</v>
      </c>
      <c r="AJ17" s="11">
        <v>8.4250000000000007</v>
      </c>
      <c r="AK17" s="11">
        <v>2.5750000000000002</v>
      </c>
      <c r="AL17" s="11">
        <v>2.5750000000000002</v>
      </c>
      <c r="AM17" s="11">
        <v>6.3</v>
      </c>
      <c r="AN17" s="11">
        <v>6</v>
      </c>
      <c r="AO17" s="11">
        <v>13.75</v>
      </c>
      <c r="AP17" s="11">
        <v>14.95</v>
      </c>
      <c r="AQ17" s="11">
        <v>14.875</v>
      </c>
      <c r="AR17" s="11">
        <v>14.574999999999999</v>
      </c>
      <c r="AS17" s="11">
        <v>11.975</v>
      </c>
      <c r="AT17" s="11">
        <v>12.025</v>
      </c>
      <c r="AU17" s="11">
        <v>11.75</v>
      </c>
      <c r="AV17" s="11">
        <v>13.375</v>
      </c>
      <c r="AW17" s="11">
        <v>12.775</v>
      </c>
      <c r="AX17" s="11">
        <v>12.775</v>
      </c>
    </row>
    <row r="18" spans="1:50" ht="23" customHeight="1" x14ac:dyDescent="0.45">
      <c r="A18" s="9" t="s">
        <v>36</v>
      </c>
      <c r="B18" s="10">
        <v>13.5</v>
      </c>
      <c r="C18" s="11">
        <v>6.15</v>
      </c>
      <c r="D18" s="11">
        <v>7.3</v>
      </c>
      <c r="E18" s="11">
        <v>6.6749999999999998</v>
      </c>
      <c r="F18" s="11">
        <v>3.5750000000000002</v>
      </c>
      <c r="G18" s="11">
        <v>3.7749999999999999</v>
      </c>
      <c r="H18" s="11">
        <v>5.75</v>
      </c>
      <c r="I18" s="11">
        <v>9.1</v>
      </c>
      <c r="J18" s="11">
        <v>9.1</v>
      </c>
      <c r="K18" s="11">
        <v>9.375</v>
      </c>
      <c r="L18" s="11">
        <v>11.574999999999999</v>
      </c>
      <c r="M18" s="11">
        <v>11.85</v>
      </c>
      <c r="N18" s="11">
        <v>11.85</v>
      </c>
      <c r="O18" s="11">
        <v>0</v>
      </c>
      <c r="P18" s="11">
        <v>5.3250000000000002</v>
      </c>
      <c r="Q18" s="11">
        <v>5.6</v>
      </c>
      <c r="R18" s="11">
        <v>6.0250000000000004</v>
      </c>
      <c r="S18" s="11">
        <v>6.5750000000000002</v>
      </c>
      <c r="T18" s="11">
        <v>6.85</v>
      </c>
      <c r="U18" s="11">
        <v>4.4000000000000004</v>
      </c>
      <c r="V18" s="11">
        <v>4.4000000000000004</v>
      </c>
      <c r="W18" s="11">
        <v>4.6749999999999998</v>
      </c>
      <c r="X18" s="11">
        <v>3.85</v>
      </c>
      <c r="Y18" s="11">
        <v>3.85</v>
      </c>
      <c r="Z18" s="11">
        <v>8.5250000000000004</v>
      </c>
      <c r="AA18" s="11">
        <v>4.4000000000000004</v>
      </c>
      <c r="AB18" s="11">
        <v>4.6749999999999998</v>
      </c>
      <c r="AC18" s="11">
        <v>4.95</v>
      </c>
      <c r="AD18" s="11">
        <v>7.9249999999999998</v>
      </c>
      <c r="AE18" s="11">
        <v>8.5250000000000004</v>
      </c>
      <c r="AF18" s="11">
        <v>6.2750000000000004</v>
      </c>
      <c r="AG18" s="11">
        <v>5.125</v>
      </c>
      <c r="AH18" s="11">
        <v>5.125</v>
      </c>
      <c r="AI18" s="11">
        <v>4.5750000000000002</v>
      </c>
      <c r="AJ18" s="11">
        <v>11.574999999999999</v>
      </c>
      <c r="AK18" s="11">
        <v>8.25</v>
      </c>
      <c r="AL18" s="11">
        <v>8.8000000000000007</v>
      </c>
      <c r="AM18" s="11">
        <v>1.65</v>
      </c>
      <c r="AN18" s="11">
        <v>2.9</v>
      </c>
      <c r="AO18" s="11">
        <v>6.95</v>
      </c>
      <c r="AP18" s="11">
        <v>1.1000000000000001</v>
      </c>
      <c r="AQ18" s="11">
        <v>4.0999999999999996</v>
      </c>
      <c r="AR18" s="11">
        <v>9.65</v>
      </c>
      <c r="AS18" s="11">
        <v>4.9249999999999998</v>
      </c>
      <c r="AT18" s="11">
        <v>7.7</v>
      </c>
      <c r="AU18" s="11">
        <v>10.75</v>
      </c>
      <c r="AV18" s="11">
        <v>5.125</v>
      </c>
      <c r="AW18" s="11">
        <v>9.0749999999999993</v>
      </c>
      <c r="AX18" s="11">
        <v>11.574999999999999</v>
      </c>
    </row>
    <row r="19" spans="1:50" ht="23" customHeight="1" x14ac:dyDescent="0.45">
      <c r="A19" s="9" t="s">
        <v>37</v>
      </c>
      <c r="B19" s="10">
        <v>3.75</v>
      </c>
      <c r="C19" s="11">
        <v>3.75</v>
      </c>
      <c r="D19" s="11">
        <v>3.75</v>
      </c>
      <c r="E19" s="11">
        <v>3.75</v>
      </c>
      <c r="F19" s="11">
        <v>3.75</v>
      </c>
      <c r="G19" s="11">
        <v>3.75</v>
      </c>
      <c r="H19" s="11">
        <v>3.75</v>
      </c>
      <c r="I19" s="11">
        <v>3.75</v>
      </c>
      <c r="J19" s="11">
        <v>3.75</v>
      </c>
      <c r="K19" s="11">
        <v>3.75</v>
      </c>
      <c r="L19" s="11">
        <v>3.75</v>
      </c>
      <c r="M19" s="11">
        <v>3.75</v>
      </c>
      <c r="N19" s="11">
        <v>3.75</v>
      </c>
      <c r="O19" s="11">
        <v>3.75</v>
      </c>
      <c r="P19" s="11">
        <v>3.75</v>
      </c>
      <c r="Q19" s="11">
        <v>3.75</v>
      </c>
      <c r="R19" s="11">
        <v>3.75</v>
      </c>
      <c r="S19" s="11">
        <v>3.75</v>
      </c>
      <c r="T19" s="11">
        <v>3.75</v>
      </c>
      <c r="U19" s="11">
        <v>3.75</v>
      </c>
      <c r="V19" s="11">
        <v>3.75</v>
      </c>
      <c r="W19" s="11">
        <v>3.75</v>
      </c>
      <c r="X19" s="11">
        <v>3.75</v>
      </c>
      <c r="Y19" s="11">
        <v>3.75</v>
      </c>
      <c r="Z19" s="11">
        <v>3.75</v>
      </c>
      <c r="AA19" s="11">
        <v>3.75</v>
      </c>
      <c r="AB19" s="11">
        <v>3.75</v>
      </c>
      <c r="AC19" s="11">
        <v>3.75</v>
      </c>
      <c r="AD19" s="11">
        <v>3.75</v>
      </c>
      <c r="AE19" s="11">
        <v>3.75</v>
      </c>
      <c r="AF19" s="11">
        <v>3.75</v>
      </c>
      <c r="AG19" s="11">
        <v>3.75</v>
      </c>
      <c r="AH19" s="11">
        <v>3.75</v>
      </c>
      <c r="AI19" s="11">
        <v>3.75</v>
      </c>
      <c r="AJ19" s="11">
        <v>3.75</v>
      </c>
      <c r="AK19" s="11">
        <v>3.75</v>
      </c>
      <c r="AL19" s="11">
        <v>3.75</v>
      </c>
      <c r="AM19" s="11">
        <v>3.75</v>
      </c>
      <c r="AN19" s="11">
        <v>3.75</v>
      </c>
      <c r="AO19" s="11">
        <v>3.75</v>
      </c>
      <c r="AP19" s="11">
        <v>3.75</v>
      </c>
      <c r="AQ19" s="11">
        <v>3.75</v>
      </c>
      <c r="AR19" s="11">
        <v>3.75</v>
      </c>
      <c r="AS19" s="11">
        <v>3.75</v>
      </c>
      <c r="AT19" s="11">
        <v>3.75</v>
      </c>
      <c r="AU19" s="11">
        <v>3.75</v>
      </c>
      <c r="AV19" s="11">
        <v>3.75</v>
      </c>
      <c r="AW19" s="11">
        <v>3.75</v>
      </c>
      <c r="AX19" s="11">
        <v>3.75</v>
      </c>
    </row>
    <row r="20" spans="1:50" ht="23" customHeight="1" x14ac:dyDescent="0.45">
      <c r="A20" s="9" t="s">
        <v>38</v>
      </c>
      <c r="B20" s="10">
        <v>3.75</v>
      </c>
      <c r="C20" s="11">
        <v>3.75</v>
      </c>
      <c r="D20" s="11">
        <v>3.75</v>
      </c>
      <c r="E20" s="11">
        <v>3.75</v>
      </c>
      <c r="F20" s="11">
        <v>3.75</v>
      </c>
      <c r="G20" s="11">
        <v>3.75</v>
      </c>
      <c r="H20" s="11">
        <v>3.75</v>
      </c>
      <c r="I20" s="11">
        <v>2.8125</v>
      </c>
      <c r="J20" s="11">
        <v>3.4375</v>
      </c>
      <c r="K20" s="11">
        <v>3.4375</v>
      </c>
      <c r="L20" s="11">
        <v>3.75</v>
      </c>
      <c r="M20" s="11">
        <v>3.75</v>
      </c>
      <c r="N20" s="11">
        <v>3.75</v>
      </c>
      <c r="O20" s="11">
        <v>3.75</v>
      </c>
      <c r="P20" s="11">
        <v>3.75</v>
      </c>
      <c r="Q20" s="11">
        <v>3.75</v>
      </c>
      <c r="R20" s="11">
        <v>3.75</v>
      </c>
      <c r="S20" s="11">
        <v>3.75</v>
      </c>
      <c r="T20" s="11">
        <v>3.75</v>
      </c>
      <c r="U20" s="11">
        <v>3.75</v>
      </c>
      <c r="V20" s="11">
        <v>3.75</v>
      </c>
      <c r="W20" s="11">
        <v>3.75</v>
      </c>
      <c r="X20" s="11">
        <v>3.75</v>
      </c>
      <c r="Y20" s="11">
        <v>3.75</v>
      </c>
      <c r="Z20" s="11">
        <v>3.75</v>
      </c>
      <c r="AA20" s="11">
        <v>3.75</v>
      </c>
      <c r="AB20" s="11">
        <v>3.75</v>
      </c>
      <c r="AC20" s="11">
        <v>3.75</v>
      </c>
      <c r="AD20" s="11">
        <v>3.75</v>
      </c>
      <c r="AE20" s="11">
        <v>3.75</v>
      </c>
      <c r="AF20" s="11">
        <v>0</v>
      </c>
      <c r="AG20" s="11">
        <v>3.75</v>
      </c>
      <c r="AH20" s="11">
        <v>3.75</v>
      </c>
      <c r="AI20" s="11">
        <v>3.75</v>
      </c>
      <c r="AJ20" s="11">
        <v>3</v>
      </c>
      <c r="AK20" s="11">
        <v>3.2143000000000002</v>
      </c>
      <c r="AL20" s="11">
        <v>3.2143000000000002</v>
      </c>
      <c r="AM20" s="11">
        <v>3.75</v>
      </c>
      <c r="AN20" s="11">
        <v>3.75</v>
      </c>
      <c r="AO20" s="11">
        <v>3.75</v>
      </c>
      <c r="AP20" s="11">
        <v>0.3125</v>
      </c>
      <c r="AQ20" s="11">
        <v>2.8125</v>
      </c>
      <c r="AR20" s="11">
        <v>3.4883999999999999</v>
      </c>
      <c r="AS20" s="11">
        <v>3.75</v>
      </c>
      <c r="AT20" s="11">
        <v>3.75</v>
      </c>
      <c r="AU20" s="11">
        <v>3.75</v>
      </c>
      <c r="AV20" s="11">
        <v>3.75</v>
      </c>
      <c r="AW20" s="11">
        <v>0</v>
      </c>
      <c r="AX20" s="11">
        <v>1.875</v>
      </c>
    </row>
    <row r="21" spans="1:50" ht="23" customHeight="1" x14ac:dyDescent="0.45">
      <c r="A21" s="9" t="s">
        <v>39</v>
      </c>
      <c r="B21" s="10">
        <v>3.75</v>
      </c>
      <c r="C21" s="11">
        <v>3.75</v>
      </c>
      <c r="D21" s="11">
        <v>3.75</v>
      </c>
      <c r="E21" s="11">
        <v>3.75</v>
      </c>
      <c r="F21" s="11">
        <v>3.75</v>
      </c>
      <c r="G21" s="11">
        <v>3.75</v>
      </c>
      <c r="H21" s="11">
        <v>3.75</v>
      </c>
      <c r="I21" s="11">
        <v>3.75</v>
      </c>
      <c r="J21" s="11">
        <v>3.75</v>
      </c>
      <c r="K21" s="11">
        <v>3.75</v>
      </c>
      <c r="L21" s="11">
        <v>3.75</v>
      </c>
      <c r="M21" s="11">
        <v>3.75</v>
      </c>
      <c r="N21" s="11">
        <v>3.75</v>
      </c>
      <c r="O21" s="11">
        <v>3.75</v>
      </c>
      <c r="P21" s="11">
        <v>3.75</v>
      </c>
      <c r="Q21" s="11">
        <v>3.75</v>
      </c>
      <c r="R21" s="11">
        <v>3.75</v>
      </c>
      <c r="S21" s="11">
        <v>3.75</v>
      </c>
      <c r="T21" s="11">
        <v>3.75</v>
      </c>
      <c r="U21" s="11">
        <v>3.75</v>
      </c>
      <c r="V21" s="11">
        <v>3.75</v>
      </c>
      <c r="W21" s="11">
        <v>3.75</v>
      </c>
      <c r="X21" s="11">
        <v>3.75</v>
      </c>
      <c r="Y21" s="11">
        <v>3.75</v>
      </c>
      <c r="Z21" s="11">
        <v>3.75</v>
      </c>
      <c r="AA21" s="11">
        <v>3.75</v>
      </c>
      <c r="AB21" s="11">
        <v>3.75</v>
      </c>
      <c r="AC21" s="11">
        <v>3.75</v>
      </c>
      <c r="AD21" s="11">
        <v>3.75</v>
      </c>
      <c r="AE21" s="11">
        <v>3.75</v>
      </c>
      <c r="AF21" s="11">
        <v>3.75</v>
      </c>
      <c r="AG21" s="11">
        <v>3.75</v>
      </c>
      <c r="AH21" s="11">
        <v>3.75</v>
      </c>
      <c r="AI21" s="11">
        <v>3.75</v>
      </c>
      <c r="AJ21" s="11">
        <v>3.75</v>
      </c>
      <c r="AK21" s="11">
        <v>3.75</v>
      </c>
      <c r="AL21" s="11">
        <v>3.75</v>
      </c>
      <c r="AM21" s="11">
        <v>3.75</v>
      </c>
      <c r="AN21" s="11">
        <v>3.75</v>
      </c>
      <c r="AO21" s="11">
        <v>3.75</v>
      </c>
      <c r="AP21" s="11">
        <v>3.75</v>
      </c>
      <c r="AQ21" s="11">
        <v>3.75</v>
      </c>
      <c r="AR21" s="11">
        <v>3.75</v>
      </c>
      <c r="AS21" s="11">
        <v>3.75</v>
      </c>
      <c r="AT21" s="11">
        <v>3.75</v>
      </c>
      <c r="AU21" s="11">
        <v>3.75</v>
      </c>
      <c r="AV21" s="11">
        <v>3.75</v>
      </c>
      <c r="AW21" s="11">
        <v>3.75</v>
      </c>
      <c r="AX21" s="11">
        <v>3.75</v>
      </c>
    </row>
    <row r="22" spans="1:50" ht="23" customHeight="1" x14ac:dyDescent="0.45">
      <c r="A22" s="9" t="s">
        <v>40</v>
      </c>
      <c r="B22" s="10">
        <v>3.75</v>
      </c>
      <c r="C22" s="11">
        <v>3.75</v>
      </c>
      <c r="D22" s="11">
        <v>3.75</v>
      </c>
      <c r="E22" s="11">
        <v>3.75</v>
      </c>
      <c r="F22" s="11">
        <v>3.75</v>
      </c>
      <c r="G22" s="11">
        <v>3.75</v>
      </c>
      <c r="H22" s="11">
        <v>3.75</v>
      </c>
      <c r="I22" s="11">
        <v>0</v>
      </c>
      <c r="J22" s="11">
        <v>0</v>
      </c>
      <c r="K22" s="11">
        <v>0</v>
      </c>
      <c r="L22" s="11">
        <v>3.75</v>
      </c>
      <c r="M22" s="11">
        <v>3.75</v>
      </c>
      <c r="N22" s="11">
        <v>3.75</v>
      </c>
      <c r="O22" s="11">
        <v>3.75</v>
      </c>
      <c r="P22" s="11">
        <v>3.75</v>
      </c>
      <c r="Q22" s="11">
        <v>3.75</v>
      </c>
      <c r="R22" s="11">
        <v>3.75</v>
      </c>
      <c r="S22" s="11">
        <v>3.75</v>
      </c>
      <c r="T22" s="11">
        <v>3.75</v>
      </c>
      <c r="U22" s="11">
        <v>3.75</v>
      </c>
      <c r="V22" s="11">
        <v>3.75</v>
      </c>
      <c r="W22" s="11">
        <v>3.75</v>
      </c>
      <c r="X22" s="11">
        <v>3.75</v>
      </c>
      <c r="Y22" s="11">
        <v>3.75</v>
      </c>
      <c r="Z22" s="11">
        <v>3.75</v>
      </c>
      <c r="AA22" s="11">
        <v>3.75</v>
      </c>
      <c r="AB22" s="11">
        <v>3.75</v>
      </c>
      <c r="AC22" s="11">
        <v>3.75</v>
      </c>
      <c r="AD22" s="11">
        <v>3.75</v>
      </c>
      <c r="AE22" s="11">
        <v>3.75</v>
      </c>
      <c r="AF22" s="11">
        <v>3.75</v>
      </c>
      <c r="AG22" s="11">
        <v>3.75</v>
      </c>
      <c r="AH22" s="11">
        <v>3.75</v>
      </c>
      <c r="AI22" s="11">
        <v>3.75</v>
      </c>
      <c r="AJ22" s="11">
        <v>3.75</v>
      </c>
      <c r="AK22" s="11">
        <v>3.75</v>
      </c>
      <c r="AL22" s="11">
        <v>3.75</v>
      </c>
      <c r="AM22" s="11">
        <v>3.75</v>
      </c>
      <c r="AN22" s="11">
        <v>3.75</v>
      </c>
      <c r="AO22" s="11">
        <v>3.75</v>
      </c>
      <c r="AP22" s="11">
        <v>2.1429</v>
      </c>
      <c r="AQ22" s="11">
        <v>2.1429</v>
      </c>
      <c r="AR22" s="11">
        <v>2.1429</v>
      </c>
      <c r="AS22" s="11">
        <v>3.75</v>
      </c>
      <c r="AT22" s="11">
        <v>3.75</v>
      </c>
      <c r="AU22" s="11">
        <v>3.75</v>
      </c>
      <c r="AV22" s="11">
        <v>3.75</v>
      </c>
      <c r="AW22" s="11">
        <v>3.75</v>
      </c>
      <c r="AX22" s="11">
        <v>3.75</v>
      </c>
    </row>
  </sheetData>
  <mergeCells count="21">
    <mergeCell ref="AJ2:AL2"/>
    <mergeCell ref="AM2:AO2"/>
    <mergeCell ref="AP2:AR2"/>
    <mergeCell ref="AS2:AU2"/>
    <mergeCell ref="AV2:AX2"/>
    <mergeCell ref="R2:T2"/>
    <mergeCell ref="U2:W2"/>
    <mergeCell ref="X2:Z2"/>
    <mergeCell ref="AA2:AC2"/>
    <mergeCell ref="AD2:AF2"/>
    <mergeCell ref="AG2:AI2"/>
    <mergeCell ref="A1:A2"/>
    <mergeCell ref="B1:B2"/>
    <mergeCell ref="C1:T1"/>
    <mergeCell ref="U1:AI1"/>
    <mergeCell ref="AJ1:AX1"/>
    <mergeCell ref="C2:E2"/>
    <mergeCell ref="F2:H2"/>
    <mergeCell ref="I2:K2"/>
    <mergeCell ref="L2:N2"/>
    <mergeCell ref="O2:Q2"/>
  </mergeCells>
  <conditionalFormatting sqref="C7:AX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AX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AX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AX1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AX1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AX1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AX1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AX1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AX1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AX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AX1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AX1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AX2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AX2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AX2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AX5">
    <cfRule type="cellIs" dxfId="5" priority="6" operator="equal">
      <formula>"IS"</formula>
    </cfRule>
    <cfRule type="cellIs" dxfId="6" priority="7" operator="equal">
      <formula>"BS"</formula>
    </cfRule>
    <cfRule type="cellIs" dxfId="7" priority="8" operator="equal">
      <formula>"B"</formula>
    </cfRule>
    <cfRule type="cellIs" dxfId="8" priority="9" operator="equal">
      <formula>"C"</formula>
    </cfRule>
    <cfRule type="cellIs" dxfId="9" priority="10" operator="equal">
      <formula>"K"</formula>
    </cfRule>
  </conditionalFormatting>
  <conditionalFormatting sqref="C4:AX4">
    <cfRule type="cellIs" dxfId="0" priority="1" operator="between">
      <formula>95</formula>
      <formula>100</formula>
    </cfRule>
    <cfRule type="cellIs" dxfId="1" priority="2" operator="between">
      <formula>90</formula>
      <formula>95</formula>
    </cfRule>
    <cfRule type="cellIs" dxfId="2" priority="3" operator="between">
      <formula>85</formula>
      <formula>90</formula>
    </cfRule>
    <cfRule type="cellIs" dxfId="3" priority="4" operator="between">
      <formula>80</formula>
      <formula>85</formula>
    </cfRule>
    <cfRule type="cellIs" dxfId="4" priority="5" operator="lessThan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 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 fatah</dc:creator>
  <cp:lastModifiedBy>akmal fatah</cp:lastModifiedBy>
  <dcterms:created xsi:type="dcterms:W3CDTF">2026-09-04T06:22:00Z</dcterms:created>
  <dcterms:modified xsi:type="dcterms:W3CDTF">2026-09-04T06:22:58Z</dcterms:modified>
</cp:coreProperties>
</file>